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o del Pronóstico" sheetId="1" state="visible" r:id="rId1"/>
    <sheet xmlns:r="http://schemas.openxmlformats.org/officeDocument/2006/relationships" name="Fases" sheetId="2" state="visible" r:id="rId2"/>
    <sheet xmlns:r="http://schemas.openxmlformats.org/officeDocument/2006/relationships" name="TAB1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4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Fundamento del Pronóstico Financiero</t>
        </is>
      </c>
    </row>
    <row r="3">
      <c r="A3" s="1" t="inlineStr">
        <is>
          <t>A continuación se presentan los supuestos básicos</t>
        </is>
      </c>
    </row>
    <row r="4">
      <c r="A4" s="1" t="inlineStr">
        <is>
          <t>para desarrollar el caso de Hamacas de Exportación</t>
        </is>
      </c>
    </row>
    <row r="5">
      <c r="A5" s="1" t="inlineStr"/>
    </row>
    <row r="6">
      <c r="A6" s="1" t="inlineStr">
        <is>
          <t>TIPO DE EMPRESA:</t>
        </is>
      </c>
      <c r="B6" s="1" t="inlineStr">
        <is>
          <t>INDUSTRIA</t>
        </is>
      </c>
    </row>
    <row r="7">
      <c r="A7" s="1" t="inlineStr">
        <is>
          <t>EL PROYECTO EXPORTARA TODA SU PRODUCCIÓN</t>
        </is>
      </c>
      <c r="B7" s="1" t="inlineStr"/>
      <c r="C7" s="1" t="inlineStr"/>
      <c r="D7" s="1" t="inlineStr">
        <is>
          <t>Año calendario</t>
        </is>
      </c>
    </row>
    <row r="8">
      <c r="A8" s="1" t="inlineStr">
        <is>
          <t>LA FABRICA OPERARA EN UN PROCESO CONTINUO</t>
        </is>
      </c>
      <c r="B8" s="1" t="inlineStr">
        <is>
          <t>365</t>
        </is>
      </c>
      <c r="C8" s="1" t="inlineStr">
        <is>
          <t>DIAS/AÑO</t>
        </is>
      </c>
      <c r="D8" s="1" t="inlineStr">
        <is>
          <t>360</t>
        </is>
      </c>
    </row>
    <row r="9">
      <c r="A9" s="1" t="inlineStr">
        <is>
          <t>INGRESOS POR VENTA Y COSTOS OPERATIVOS SIN IVA</t>
        </is>
      </c>
    </row>
    <row r="10">
      <c r="A10" s="1" t="inlineStr">
        <is>
          <t>DOLARES CONSTANTES</t>
        </is>
      </c>
    </row>
    <row r="11">
      <c r="A11" s="1" t="inlineStr"/>
    </row>
    <row r="12">
      <c r="A12" s="1" t="inlineStr">
        <is>
          <t>PRECIO DE VENTA POR DOCENA  $</t>
        </is>
      </c>
      <c r="B12" s="1" t="inlineStr">
        <is>
          <t>800</t>
        </is>
      </c>
    </row>
    <row r="13">
      <c r="A13" s="1" t="inlineStr">
        <is>
          <t>VIDA UTIL DEL PROYECTO</t>
        </is>
      </c>
    </row>
    <row r="14">
      <c r="A14" s="1" t="inlineStr">
        <is>
          <t>CONSTRUCCION</t>
        </is>
      </c>
      <c r="B14" s="1" t="inlineStr">
        <is>
          <t>1</t>
        </is>
      </c>
      <c r="C14" s="1" t="inlineStr">
        <is>
          <t>AÑO</t>
        </is>
      </c>
    </row>
    <row r="15">
      <c r="A15" s="1" t="inlineStr">
        <is>
          <t>PRODUCCION</t>
        </is>
      </c>
      <c r="B15" s="1" t="inlineStr">
        <is>
          <t>5</t>
        </is>
      </c>
      <c r="C15" s="1" t="inlineStr">
        <is>
          <t>AÑOS</t>
        </is>
      </c>
    </row>
    <row r="16">
      <c r="A16" s="1" t="inlineStr"/>
    </row>
    <row r="17">
      <c r="A17" s="1" t="inlineStr">
        <is>
          <t>EL PROYECTO GOZARA DE EXCENCION DE IMPUESTOS</t>
        </is>
      </c>
    </row>
    <row r="18">
      <c r="A18" s="1" t="inlineStr">
        <is>
          <t>IMPUESTO SOBRE LA RENTA - ISR</t>
        </is>
      </c>
    </row>
    <row r="19">
      <c r="A19" s="1" t="inlineStr">
        <is>
          <t xml:space="preserve">  Primeros 2 años</t>
        </is>
      </c>
      <c r="B19" s="1" t="inlineStr">
        <is>
          <t>0%</t>
        </is>
      </c>
    </row>
    <row r="20">
      <c r="A20" s="1" t="inlineStr">
        <is>
          <t xml:space="preserve">  A partir del 3er año</t>
        </is>
      </c>
      <c r="B20" s="1" t="inlineStr">
        <is>
          <t>30%</t>
        </is>
      </c>
    </row>
    <row r="21">
      <c r="A21" s="1" t="inlineStr">
        <is>
          <t>IVA</t>
        </is>
      </c>
      <c r="B21" s="1" t="inlineStr">
        <is>
          <t>13%</t>
        </is>
      </c>
    </row>
    <row r="22">
      <c r="A22" s="1" t="inlineStr"/>
    </row>
    <row r="23">
      <c r="A23" s="1" t="inlineStr">
        <is>
          <t>FACILIDADES CREDITICIAS</t>
        </is>
      </c>
    </row>
    <row r="24">
      <c r="A24" s="1" t="inlineStr">
        <is>
          <t>CREDITO A LARGO PLAZO</t>
        </is>
      </c>
    </row>
    <row r="25">
      <c r="A25" s="1" t="inlineStr">
        <is>
          <t xml:space="preserve">  Porcentaje financiamiento Activo Fijo</t>
        </is>
      </c>
      <c r="B25" s="1" t="inlineStr">
        <is>
          <t>45%</t>
        </is>
      </c>
    </row>
    <row r="26">
      <c r="A26" s="1" t="inlineStr">
        <is>
          <t xml:space="preserve">  Tasa de interés</t>
        </is>
      </c>
      <c r="B26" s="1" t="inlineStr">
        <is>
          <t>10%</t>
        </is>
      </c>
      <c r="C26" s="1" t="inlineStr">
        <is>
          <t>anual</t>
        </is>
      </c>
    </row>
    <row r="27">
      <c r="A27" s="1" t="inlineStr">
        <is>
          <t xml:space="preserve">  Plazo</t>
        </is>
      </c>
      <c r="B27" s="1" t="inlineStr">
        <is>
          <t>6</t>
        </is>
      </c>
      <c r="C27" s="1" t="inlineStr">
        <is>
          <t>años</t>
        </is>
      </c>
    </row>
    <row r="28">
      <c r="A28" s="1" t="inlineStr">
        <is>
          <t xml:space="preserve">  Periodo de gracia</t>
        </is>
      </c>
      <c r="B28" s="1" t="inlineStr">
        <is>
          <t>1</t>
        </is>
      </c>
      <c r="C28" s="1" t="inlineStr">
        <is>
          <t>año (solo intereses)</t>
        </is>
      </c>
    </row>
    <row r="29">
      <c r="A29" s="1" t="inlineStr">
        <is>
          <t>LINEA DE CREDITO DE CORTO PLAZO</t>
        </is>
      </c>
    </row>
    <row r="30">
      <c r="A30" s="1" t="inlineStr">
        <is>
          <t xml:space="preserve">  Tasa de interés</t>
        </is>
      </c>
      <c r="B30" s="1" t="inlineStr">
        <is>
          <t>9%</t>
        </is>
      </c>
      <c r="C30" s="1" t="inlineStr">
        <is>
          <t>anual</t>
        </is>
      </c>
    </row>
    <row r="31">
      <c r="A31" s="1" t="inlineStr">
        <is>
          <t xml:space="preserve">  Plazo</t>
        </is>
      </c>
      <c r="B31" s="1" t="inlineStr">
        <is>
          <t>3</t>
        </is>
      </c>
      <c r="C31" s="1" t="inlineStr">
        <is>
          <t>años</t>
        </is>
      </c>
    </row>
    <row r="32">
      <c r="A32" s="1" t="inlineStr">
        <is>
          <t xml:space="preserve">  Periodo de gracia</t>
        </is>
      </c>
      <c r="B32" s="1" t="inlineStr">
        <is>
          <t>2</t>
        </is>
      </c>
      <c r="C32" s="1" t="inlineStr">
        <is>
          <t>años</t>
        </is>
      </c>
    </row>
    <row r="33">
      <c r="A33" s="1" t="inlineStr"/>
    </row>
    <row r="34">
      <c r="A34" s="1" t="inlineStr">
        <is>
          <t>CAPITAL SOCIAL</t>
        </is>
      </c>
    </row>
    <row r="35">
      <c r="A35" s="1" t="inlineStr">
        <is>
          <t>Capital de los Inversionistas</t>
        </is>
      </c>
      <c r="B35" s="1" t="inlineStr">
        <is>
          <t>$500,000</t>
        </is>
      </c>
    </row>
    <row r="36">
      <c r="A36" s="1" t="inlineStr">
        <is>
          <t>Distribución de dividendos inicia</t>
        </is>
      </c>
      <c r="B36" s="1" t="inlineStr">
        <is>
          <t>3er año de operación</t>
        </is>
      </c>
    </row>
    <row r="37">
      <c r="A37" s="1" t="inlineStr">
        <is>
          <t>Porcentaje de distribución</t>
        </is>
      </c>
      <c r="B37" s="1" t="inlineStr">
        <is>
          <t>10%</t>
        </is>
      </c>
      <c r="C37" s="1" t="inlineStr">
        <is>
          <t>del capital social</t>
        </is>
      </c>
    </row>
    <row r="38">
      <c r="A38" s="1" t="inlineStr"/>
    </row>
    <row r="39">
      <c r="A39" s="1" t="inlineStr">
        <is>
          <t>ESTUDIO DE MERCADO</t>
        </is>
      </c>
    </row>
    <row r="40">
      <c r="A40" s="1" t="inlineStr">
        <is>
          <t>Demanda insatisfecha</t>
        </is>
      </c>
      <c r="B40" s="1" t="inlineStr">
        <is>
          <t>5,000</t>
        </is>
      </c>
      <c r="C40" s="1" t="inlineStr">
        <is>
          <t>docenas anuales</t>
        </is>
      </c>
    </row>
    <row r="41">
      <c r="A41" s="1" t="inlineStr">
        <is>
          <t>Precio de venta</t>
        </is>
      </c>
      <c r="B41" s="1" t="inlineStr">
        <is>
          <t>$800</t>
        </is>
      </c>
      <c r="C41" s="1" t="inlineStr">
        <is>
          <t>por docena</t>
        </is>
      </c>
    </row>
    <row r="42">
      <c r="A42" s="1" t="inlineStr">
        <is>
          <t>Mercado objetivo</t>
        </is>
      </c>
      <c r="B42" s="1" t="inlineStr">
        <is>
          <t>Estados Unidos</t>
        </is>
      </c>
    </row>
    <row r="43">
      <c r="A43" s="1" t="inlineStr">
        <is>
          <t>Usuarios principales</t>
        </is>
      </c>
      <c r="B43" s="1" t="inlineStr">
        <is>
          <t>Adultos 30-55 años (90%)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1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FASES DE UN PROYECTO</t>
        </is>
      </c>
    </row>
    <row r="3">
      <c r="A3" s="1" t="inlineStr"/>
    </row>
    <row r="4">
      <c r="A4" s="1" t="inlineStr"/>
      <c r="B4" s="1" t="inlineStr">
        <is>
          <t>FASE DE</t>
        </is>
      </c>
      <c r="C4" s="1" t="inlineStr"/>
      <c r="D4" s="1" t="inlineStr"/>
      <c r="E4" s="1" t="inlineStr"/>
      <c r="F4" s="1" t="inlineStr">
        <is>
          <t>FASE DE</t>
        </is>
      </c>
      <c r="G4" s="1" t="inlineStr"/>
      <c r="H4" s="1" t="inlineStr">
        <is>
          <t>FASE DE OPERACIÓN</t>
        </is>
      </c>
    </row>
    <row r="5">
      <c r="A5" s="1" t="inlineStr"/>
      <c r="B5" s="1" t="inlineStr">
        <is>
          <t>PREINVERSION</t>
        </is>
      </c>
      <c r="C5" s="1" t="inlineStr"/>
      <c r="D5" s="1" t="inlineStr"/>
      <c r="E5" s="1" t="inlineStr"/>
      <c r="F5" s="1" t="inlineStr">
        <is>
          <t>INVERSION</t>
        </is>
      </c>
      <c r="G5" s="1" t="inlineStr"/>
      <c r="H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</row>
    <row r="7">
      <c r="A7" s="1" t="inlineStr"/>
      <c r="B7" s="1" t="inlineStr"/>
      <c r="C7" s="1" t="inlineStr"/>
      <c r="D7" s="1" t="inlineStr"/>
      <c r="E7" s="1" t="inlineStr"/>
      <c r="F7" s="1" t="inlineStr">
        <is>
          <t>Periodo 0</t>
        </is>
      </c>
      <c r="G7" s="1" t="inlineStr"/>
      <c r="H7" s="1" t="inlineStr">
        <is>
          <t>PERIODO OPERATIVO</t>
        </is>
      </c>
    </row>
    <row r="8">
      <c r="A8" s="1" t="inlineStr">
        <is>
          <t>ESTUDIO DE OPORTUNIDAD</t>
        </is>
      </c>
      <c r="B8" s="1" t="inlineStr">
        <is>
          <t>ESTUDIO DE PREFACTIBILIDAD</t>
        </is>
      </c>
      <c r="C8" s="1" t="inlineStr">
        <is>
          <t>ESTUDIO DE FACTIBILIDAD</t>
        </is>
      </c>
      <c r="D8" s="1" t="inlineStr">
        <is>
          <t>REPORTE DE EVALUACION</t>
        </is>
      </c>
      <c r="E8" s="1" t="inlineStr">
        <is>
          <t>PERIODO DE CONSTRUCCION</t>
        </is>
      </c>
      <c r="F8" s="1" t="inlineStr"/>
      <c r="G8" s="1" t="inlineStr">
        <is>
          <t>INICIO DE PRODUCCION</t>
        </is>
      </c>
      <c r="H8" s="1" t="inlineStr">
        <is>
          <t>PRODUCCION A PLENA CAPACIDAD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>
        <is>
          <t>Semestre 1</t>
        </is>
      </c>
      <c r="G10" s="1" t="inlineStr">
        <is>
          <t>Semestre 2</t>
        </is>
      </c>
      <c r="H10" s="1" t="inlineStr">
        <is>
          <t>Año 1</t>
        </is>
      </c>
      <c r="I10" s="1" t="inlineStr">
        <is>
          <t>Año 2</t>
        </is>
      </c>
      <c r="J10" s="1" t="inlineStr">
        <is>
          <t>Año 3</t>
        </is>
      </c>
      <c r="K10" s="1" t="inlineStr">
        <is>
          <t>Año 4</t>
        </is>
      </c>
      <c r="L10" s="1" t="inlineStr">
        <is>
          <t>Año 5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>
        <is>
          <t>0</t>
        </is>
      </c>
      <c r="G11" s="1" t="inlineStr">
        <is>
          <t>0</t>
        </is>
      </c>
      <c r="H11" s="1" t="inlineStr">
        <is>
          <t>0.75</t>
        </is>
      </c>
      <c r="I11" s="1" t="inlineStr">
        <is>
          <t>0.9</t>
        </is>
      </c>
      <c r="J11" s="1" t="inlineStr">
        <is>
          <t>1</t>
        </is>
      </c>
      <c r="K11" s="1" t="inlineStr">
        <is>
          <t>1</t>
        </is>
      </c>
      <c r="L11" s="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56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TABLA 1</t>
        </is>
      </c>
    </row>
    <row r="3">
      <c r="A3" s="2" t="inlineStr">
        <is>
          <t>COSTOS INCURRIDOS ANUALMENTE DURANTE EL PERIODO PREOPERATIVO</t>
        </is>
      </c>
    </row>
    <row r="4">
      <c r="A4" s="2" t="inlineStr">
        <is>
          <t>(EN US$)</t>
        </is>
      </c>
    </row>
    <row r="5">
      <c r="A5" s="1" t="inlineStr"/>
      <c r="B5" s="1" t="inlineStr"/>
      <c r="C5" s="1" t="inlineStr">
        <is>
          <t>AÑO PREOPERATIVO</t>
        </is>
      </c>
      <c r="D5" s="1" t="inlineStr"/>
      <c r="E5" s="1" t="inlineStr"/>
    </row>
    <row r="6">
      <c r="A6" s="1" t="inlineStr"/>
      <c r="B6" s="1" t="inlineStr"/>
      <c r="C6" s="1" t="inlineStr">
        <is>
          <t>Sem 1</t>
        </is>
      </c>
      <c r="D6" s="1" t="inlineStr">
        <is>
          <t>Sem 2</t>
        </is>
      </c>
      <c r="E6" s="1" t="inlineStr">
        <is>
          <t>TOTAL</t>
        </is>
      </c>
    </row>
    <row r="7">
      <c r="A7" s="1" t="inlineStr">
        <is>
          <t>GASTOS PREOPERATIVOS:</t>
        </is>
      </c>
    </row>
    <row r="8">
      <c r="A8" s="1" t="inlineStr">
        <is>
          <t xml:space="preserve">  Estudio de Preinversión</t>
        </is>
      </c>
      <c r="B8" s="1" t="inlineStr">
        <is>
          <t>10,000</t>
        </is>
      </c>
      <c r="C8" s="1" t="inlineStr">
        <is>
          <t>10,000</t>
        </is>
      </c>
      <c r="D8" s="1" t="inlineStr">
        <is>
          <t>0</t>
        </is>
      </c>
      <c r="E8" s="1" t="inlineStr">
        <is>
          <t>10,000</t>
        </is>
      </c>
    </row>
    <row r="9">
      <c r="A9" s="1" t="inlineStr">
        <is>
          <t xml:space="preserve">  Análisis y Pruebas</t>
        </is>
      </c>
      <c r="B9" s="1" t="inlineStr">
        <is>
          <t>15,000</t>
        </is>
      </c>
      <c r="C9" s="1" t="inlineStr">
        <is>
          <t>0</t>
        </is>
      </c>
      <c r="D9" s="1" t="inlineStr">
        <is>
          <t>15,000</t>
        </is>
      </c>
      <c r="E9" s="1" t="inlineStr">
        <is>
          <t>15,000</t>
        </is>
      </c>
    </row>
    <row r="10">
      <c r="A10" s="1" t="inlineStr">
        <is>
          <t xml:space="preserve">  Supervisión y Coordinación</t>
        </is>
      </c>
      <c r="B10" s="1" t="inlineStr">
        <is>
          <t>15,000</t>
        </is>
      </c>
      <c r="C10" s="1" t="inlineStr">
        <is>
          <t>7,500</t>
        </is>
      </c>
      <c r="D10" s="1" t="inlineStr">
        <is>
          <t>7,500</t>
        </is>
      </c>
      <c r="E10" s="1" t="inlineStr">
        <is>
          <t>15,000</t>
        </is>
      </c>
    </row>
    <row r="11">
      <c r="A11" s="1" t="inlineStr">
        <is>
          <t xml:space="preserve">  Planificación y Preparación</t>
        </is>
      </c>
      <c r="B11" s="1" t="inlineStr">
        <is>
          <t>10,000</t>
        </is>
      </c>
      <c r="C11" s="1" t="inlineStr">
        <is>
          <t>5,000</t>
        </is>
      </c>
      <c r="D11" s="1" t="inlineStr">
        <is>
          <t>5,000</t>
        </is>
      </c>
      <c r="E11" s="1" t="inlineStr">
        <is>
          <t>10,000</t>
        </is>
      </c>
    </row>
    <row r="12">
      <c r="A12" s="1" t="inlineStr">
        <is>
          <t xml:space="preserve">  Reclutamiento y Entrenamiento</t>
        </is>
      </c>
      <c r="B12" s="1" t="inlineStr">
        <is>
          <t>12,500</t>
        </is>
      </c>
      <c r="C12" s="1" t="inlineStr">
        <is>
          <t>0</t>
        </is>
      </c>
      <c r="D12" s="1" t="inlineStr">
        <is>
          <t>12,500</t>
        </is>
      </c>
      <c r="E12" s="1" t="inlineStr">
        <is>
          <t>12,500</t>
        </is>
      </c>
    </row>
    <row r="13">
      <c r="A13" s="1" t="inlineStr">
        <is>
          <t xml:space="preserve">  Costos Legales - Constitución</t>
        </is>
      </c>
      <c r="B13" s="1" t="inlineStr">
        <is>
          <t>3,000</t>
        </is>
      </c>
      <c r="C13" s="1" t="inlineStr">
        <is>
          <t>0</t>
        </is>
      </c>
      <c r="D13" s="1" t="inlineStr">
        <is>
          <t>3,000</t>
        </is>
      </c>
      <c r="E13" s="1" t="inlineStr">
        <is>
          <t>3,000</t>
        </is>
      </c>
    </row>
    <row r="14">
      <c r="A14" s="1" t="inlineStr">
        <is>
          <t xml:space="preserve">  Licencia Industrial</t>
        </is>
      </c>
      <c r="B14" s="1" t="inlineStr">
        <is>
          <t>1,000</t>
        </is>
      </c>
      <c r="C14" s="1" t="inlineStr">
        <is>
          <t>0</t>
        </is>
      </c>
      <c r="D14" s="1" t="inlineStr">
        <is>
          <t>1,000</t>
        </is>
      </c>
      <c r="E14" s="1" t="inlineStr">
        <is>
          <t>1,000</t>
        </is>
      </c>
    </row>
    <row r="15">
      <c r="A15" s="1" t="inlineStr">
        <is>
          <t xml:space="preserve">  Licencia Comercial</t>
        </is>
      </c>
      <c r="B15" s="1" t="inlineStr">
        <is>
          <t>1,000</t>
        </is>
      </c>
      <c r="C15" s="1" t="inlineStr">
        <is>
          <t>0</t>
        </is>
      </c>
      <c r="D15" s="1" t="inlineStr">
        <is>
          <t>1,000</t>
        </is>
      </c>
      <c r="E15" s="1" t="inlineStr">
        <is>
          <t>1,000</t>
        </is>
      </c>
    </row>
    <row r="16">
      <c r="A16" s="1" t="inlineStr">
        <is>
          <t xml:space="preserve">  Establecimiento Contabilidad</t>
        </is>
      </c>
      <c r="B16" s="1" t="inlineStr">
        <is>
          <t>3,000</t>
        </is>
      </c>
      <c r="C16" s="1" t="inlineStr">
        <is>
          <t>1,000</t>
        </is>
      </c>
      <c r="D16" s="1" t="inlineStr">
        <is>
          <t>2,000</t>
        </is>
      </c>
      <c r="E16" s="1" t="inlineStr">
        <is>
          <t>3,000</t>
        </is>
      </c>
    </row>
    <row r="17">
      <c r="A17" s="1" t="inlineStr">
        <is>
          <t xml:space="preserve">  Costos de Promoción</t>
        </is>
      </c>
      <c r="B17" s="1" t="inlineStr">
        <is>
          <t>2,000</t>
        </is>
      </c>
      <c r="C17" s="1" t="inlineStr">
        <is>
          <t>0</t>
        </is>
      </c>
      <c r="D17" s="1" t="inlineStr">
        <is>
          <t>2,000</t>
        </is>
      </c>
      <c r="E17" s="1" t="inlineStr">
        <is>
          <t>2,000</t>
        </is>
      </c>
    </row>
    <row r="18">
      <c r="A18" s="1" t="inlineStr">
        <is>
          <t xml:space="preserve">  Campaña de Mercadeo</t>
        </is>
      </c>
      <c r="B18" s="1" t="inlineStr">
        <is>
          <t>2,000</t>
        </is>
      </c>
      <c r="C18" s="1" t="inlineStr">
        <is>
          <t>0</t>
        </is>
      </c>
      <c r="D18" s="1" t="inlineStr">
        <is>
          <t>2,000</t>
        </is>
      </c>
      <c r="E18" s="1" t="inlineStr">
        <is>
          <t>2,000</t>
        </is>
      </c>
    </row>
    <row r="19">
      <c r="A19" s="1" t="inlineStr">
        <is>
          <t xml:space="preserve">  Enlace con Bancos</t>
        </is>
      </c>
      <c r="B19" s="1" t="inlineStr">
        <is>
          <t>2,000</t>
        </is>
      </c>
      <c r="C19" s="1" t="inlineStr">
        <is>
          <t>0</t>
        </is>
      </c>
      <c r="D19" s="1" t="inlineStr">
        <is>
          <t>2,000</t>
        </is>
      </c>
      <c r="E19" s="1" t="inlineStr">
        <is>
          <t>2,000</t>
        </is>
      </c>
    </row>
    <row r="20">
      <c r="A20" s="1" t="inlineStr">
        <is>
          <t xml:space="preserve">  Pruebas de Bioseguridad</t>
        </is>
      </c>
      <c r="B20" s="1" t="inlineStr">
        <is>
          <t>8,350</t>
        </is>
      </c>
      <c r="C20" s="1" t="inlineStr">
        <is>
          <t>0</t>
        </is>
      </c>
      <c r="D20" s="1" t="inlineStr">
        <is>
          <t>8,350</t>
        </is>
      </c>
      <c r="E20" s="1" t="inlineStr">
        <is>
          <t>8,350</t>
        </is>
      </c>
    </row>
    <row r="21">
      <c r="A21" s="1" t="inlineStr">
        <is>
          <t>TOTAL GASTOS PREOPERATIVOS</t>
        </is>
      </c>
      <c r="B21" s="1" t="inlineStr"/>
      <c r="C21" s="1">
        <f>SUM(C7:C19)</f>
        <v/>
      </c>
      <c r="D21" s="1">
        <f>SUM(D7:D19)</f>
        <v/>
      </c>
      <c r="E21" s="1">
        <f>SUM(E7:E19)</f>
        <v/>
      </c>
    </row>
    <row r="24">
      <c r="A24" s="2" t="inlineStr">
        <is>
          <t>TABLA 2</t>
        </is>
      </c>
    </row>
    <row r="25">
      <c r="A25" s="2" t="inlineStr">
        <is>
          <t>COSTO DE ADQUISICION DE ACTIVOS FIJOS Y REEMPLAZOS</t>
        </is>
      </c>
    </row>
    <row r="26">
      <c r="A26" s="1" t="inlineStr">
        <is>
          <t>(EN US$)</t>
        </is>
      </c>
    </row>
    <row r="27">
      <c r="A27" s="1" t="inlineStr"/>
      <c r="B27" s="1" t="inlineStr"/>
      <c r="C27" s="1" t="inlineStr"/>
      <c r="D27" s="1" t="inlineStr">
        <is>
          <t>DISTRIBUCIÓN POR SEMESTRE</t>
        </is>
      </c>
      <c r="E27" s="1" t="inlineStr"/>
      <c r="F27" s="1" t="inlineStr"/>
      <c r="G27" s="1" t="inlineStr"/>
      <c r="H27" s="1" t="inlineStr">
        <is>
          <t>VIDA ÚTIL</t>
        </is>
      </c>
    </row>
    <row r="28">
      <c r="A28" s="1" t="inlineStr"/>
      <c r="B28" s="1" t="inlineStr">
        <is>
          <t>CONCEPTO</t>
        </is>
      </c>
      <c r="C28" s="1" t="inlineStr">
        <is>
          <t>TOTAL</t>
        </is>
      </c>
      <c r="D28" s="1" t="inlineStr">
        <is>
          <t>Const Sem 1</t>
        </is>
      </c>
      <c r="E28" s="1" t="inlineStr">
        <is>
          <t>Const Sem 2</t>
        </is>
      </c>
      <c r="F28" s="1" t="inlineStr">
        <is>
          <t>Año 1</t>
        </is>
      </c>
      <c r="G28" s="1" t="inlineStr">
        <is>
          <t>Año 2</t>
        </is>
      </c>
      <c r="H28" s="1" t="inlineStr">
        <is>
          <t>Año 3</t>
        </is>
      </c>
      <c r="I28" s="1" t="inlineStr">
        <is>
          <t>Año 4</t>
        </is>
      </c>
      <c r="J28" s="1" t="inlineStr">
        <is>
          <t>Año 5</t>
        </is>
      </c>
      <c r="K28" s="1" t="inlineStr">
        <is>
          <t>(años)</t>
        </is>
      </c>
    </row>
    <row r="29">
      <c r="A29" s="1" t="inlineStr">
        <is>
          <t>1</t>
        </is>
      </c>
      <c r="B29" s="1" t="inlineStr">
        <is>
          <t>Terreno (donación del estado)</t>
        </is>
      </c>
      <c r="C29" s="1" t="inlineStr">
        <is>
          <t>0</t>
        </is>
      </c>
      <c r="D29" s="1" t="inlineStr">
        <is>
          <t>0</t>
        </is>
      </c>
      <c r="E29" s="1" t="inlineStr">
        <is>
          <t>0</t>
        </is>
      </c>
      <c r="F29" s="1" t="inlineStr"/>
      <c r="G29" s="1" t="inlineStr"/>
      <c r="H29" s="1" t="inlineStr"/>
      <c r="I29" s="1" t="inlineStr"/>
      <c r="J29" s="1" t="inlineStr"/>
      <c r="K29" s="1" t="inlineStr">
        <is>
          <t>N/A</t>
        </is>
      </c>
    </row>
    <row r="30">
      <c r="A30" s="1" t="inlineStr">
        <is>
          <t>2</t>
        </is>
      </c>
      <c r="B30" s="1" t="inlineStr">
        <is>
          <t>Preparación del Sitio</t>
        </is>
      </c>
      <c r="C30" s="1" t="inlineStr">
        <is>
          <t>22,500</t>
        </is>
      </c>
      <c r="D30" s="1" t="inlineStr">
        <is>
          <t>22,500</t>
        </is>
      </c>
      <c r="E30" s="1" t="inlineStr">
        <is>
          <t>0</t>
        </is>
      </c>
      <c r="F30" s="1" t="inlineStr"/>
      <c r="G30" s="1" t="inlineStr"/>
      <c r="H30" s="1" t="inlineStr"/>
      <c r="I30" s="1" t="inlineStr"/>
      <c r="J30" s="1" t="inlineStr"/>
      <c r="K30" s="1" t="inlineStr">
        <is>
          <t>15</t>
        </is>
      </c>
    </row>
    <row r="31">
      <c r="A31" s="1" t="inlineStr">
        <is>
          <t>3</t>
        </is>
      </c>
      <c r="B31" s="1" t="inlineStr">
        <is>
          <t>Ingeniería Civil (Costos Indirectos)</t>
        </is>
      </c>
      <c r="C31" s="1" t="inlineStr">
        <is>
          <t>50,400</t>
        </is>
      </c>
      <c r="D31" s="1" t="inlineStr">
        <is>
          <t>25,200</t>
        </is>
      </c>
      <c r="E31" s="1" t="inlineStr">
        <is>
          <t>25,200</t>
        </is>
      </c>
      <c r="F31" s="1" t="inlineStr"/>
      <c r="G31" s="1" t="inlineStr"/>
      <c r="H31" s="1" t="inlineStr"/>
      <c r="I31" s="1" t="inlineStr"/>
      <c r="J31" s="1" t="inlineStr"/>
      <c r="K31" s="1" t="inlineStr">
        <is>
          <t>15</t>
        </is>
      </c>
    </row>
    <row r="32">
      <c r="A32" s="1" t="inlineStr">
        <is>
          <t>4</t>
        </is>
      </c>
      <c r="B32" s="1" t="inlineStr">
        <is>
          <t>Ingeniería Civil (Costos Directos)</t>
        </is>
      </c>
      <c r="C32" s="1" t="inlineStr">
        <is>
          <t>30,940</t>
        </is>
      </c>
      <c r="D32" s="1" t="inlineStr">
        <is>
          <t>15,470</t>
        </is>
      </c>
      <c r="E32" s="1" t="inlineStr">
        <is>
          <t>15,470</t>
        </is>
      </c>
      <c r="F32" s="1" t="inlineStr"/>
      <c r="G32" s="1" t="inlineStr"/>
      <c r="H32" s="1" t="inlineStr"/>
      <c r="I32" s="1" t="inlineStr"/>
      <c r="J32" s="1" t="inlineStr"/>
      <c r="K32" s="1" t="inlineStr">
        <is>
          <t>15</t>
        </is>
      </c>
    </row>
    <row r="33">
      <c r="A33" s="1" t="inlineStr">
        <is>
          <t>5</t>
        </is>
      </c>
      <c r="B33" s="1" t="inlineStr">
        <is>
          <t>Maquinaria y Equipo</t>
        </is>
      </c>
      <c r="C33" s="1" t="inlineStr">
        <is>
          <t>850,000</t>
        </is>
      </c>
      <c r="D33" s="1" t="inlineStr">
        <is>
          <t>212,500</t>
        </is>
      </c>
      <c r="E33" s="1" t="inlineStr">
        <is>
          <t>637,500</t>
        </is>
      </c>
      <c r="F33" s="1" t="inlineStr"/>
      <c r="G33" s="1" t="inlineStr"/>
      <c r="H33" s="1" t="inlineStr"/>
      <c r="I33" s="1" t="inlineStr"/>
      <c r="J33" s="1" t="inlineStr"/>
      <c r="K33" s="1" t="inlineStr">
        <is>
          <t>5</t>
        </is>
      </c>
    </row>
    <row r="34">
      <c r="A34" s="1" t="inlineStr">
        <is>
          <t>6</t>
        </is>
      </c>
      <c r="B34" s="1" t="inlineStr">
        <is>
          <t>Ensamblaje e Instalación</t>
        </is>
      </c>
      <c r="C34" s="1" t="inlineStr">
        <is>
          <t>212,500</t>
        </is>
      </c>
      <c r="D34" s="1" t="inlineStr">
        <is>
          <t>0</t>
        </is>
      </c>
      <c r="E34" s="1" t="inlineStr">
        <is>
          <t>212,500</t>
        </is>
      </c>
      <c r="F34" s="1" t="inlineStr"/>
      <c r="G34" s="1" t="inlineStr"/>
      <c r="H34" s="1" t="inlineStr"/>
      <c r="I34" s="1" t="inlineStr"/>
      <c r="J34" s="1" t="inlineStr"/>
      <c r="K34" s="1" t="inlineStr">
        <is>
          <t>5</t>
        </is>
      </c>
    </row>
    <row r="35">
      <c r="A35" s="1" t="inlineStr">
        <is>
          <t>7</t>
        </is>
      </c>
      <c r="B35" s="1" t="inlineStr">
        <is>
          <t>Equipo de Oficina</t>
        </is>
      </c>
      <c r="C35" s="1" t="inlineStr">
        <is>
          <t>15,000</t>
        </is>
      </c>
      <c r="D35" s="1" t="inlineStr">
        <is>
          <t>0</t>
        </is>
      </c>
      <c r="E35" s="1" t="inlineStr">
        <is>
          <t>15,000</t>
        </is>
      </c>
      <c r="F35" s="1" t="inlineStr"/>
      <c r="G35" s="1" t="inlineStr"/>
      <c r="H35" s="1" t="inlineStr"/>
      <c r="I35" s="1" t="inlineStr"/>
      <c r="J35" s="1" t="inlineStr"/>
      <c r="K35" s="1" t="inlineStr">
        <is>
          <t>2</t>
        </is>
      </c>
    </row>
    <row r="36">
      <c r="A36" s="1" t="inlineStr">
        <is>
          <t>8</t>
        </is>
      </c>
      <c r="B36" s="1" t="inlineStr">
        <is>
          <t>Equipo de Transporte</t>
        </is>
      </c>
      <c r="C36" s="1" t="inlineStr">
        <is>
          <t>50,500</t>
        </is>
      </c>
      <c r="D36" s="1" t="inlineStr">
        <is>
          <t>0</t>
        </is>
      </c>
      <c r="E36" s="1" t="inlineStr">
        <is>
          <t>50,500</t>
        </is>
      </c>
      <c r="F36" s="1" t="inlineStr"/>
      <c r="G36" s="1" t="inlineStr"/>
      <c r="H36" s="1" t="inlineStr"/>
      <c r="I36" s="1" t="inlineStr"/>
      <c r="J36" s="1" t="inlineStr"/>
      <c r="K36" s="1" t="inlineStr">
        <is>
          <t>5</t>
        </is>
      </c>
    </row>
    <row r="37">
      <c r="A37" s="1" t="inlineStr"/>
      <c r="B37" s="1" t="inlineStr">
        <is>
          <t>Subtotal Activos Fijos</t>
        </is>
      </c>
      <c r="C37" s="1">
        <f>SUM(D31:D38)</f>
        <v/>
      </c>
      <c r="D37" s="1">
        <f>SUM(E31:E38)</f>
        <v/>
      </c>
      <c r="E37" s="1">
        <f>SUM(F31:F38)</f>
        <v/>
      </c>
      <c r="F37" s="1" t="inlineStr"/>
      <c r="G37" s="1" t="inlineStr"/>
      <c r="H37" s="1" t="inlineStr"/>
      <c r="I37" s="1" t="inlineStr"/>
      <c r="J37" s="1" t="inlineStr"/>
      <c r="K37" s="1" t="inlineStr"/>
    </row>
    <row r="38">
      <c r="A38" s="1" t="inlineStr"/>
      <c r="B38" s="1" t="inlineStr">
        <is>
          <t>Imprevistos (10%)</t>
        </is>
      </c>
      <c r="C38" s="1">
        <f>0.1*(D32+D34+D35+D36+D37+D38)</f>
        <v/>
      </c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</row>
    <row r="39">
      <c r="A39" s="1" t="inlineStr"/>
      <c r="B39" s="1" t="inlineStr">
        <is>
          <t>TOTAL ACTIVOS FIJOS</t>
        </is>
      </c>
      <c r="C39" s="1">
        <f>D39+D40</f>
        <v/>
      </c>
      <c r="D39" s="1">
        <f>E39+E40</f>
        <v/>
      </c>
      <c r="E39" s="1">
        <f>F39+F40</f>
        <v/>
      </c>
      <c r="F39" s="1" t="inlineStr"/>
      <c r="G39" s="1" t="inlineStr"/>
      <c r="H39" s="1" t="inlineStr"/>
      <c r="I39" s="1" t="inlineStr"/>
      <c r="J39" s="1" t="inlineStr"/>
      <c r="K39" s="1" t="inlineStr"/>
    </row>
    <row r="42">
      <c r="A42" s="2" t="inlineStr">
        <is>
          <t>TABLA 3</t>
        </is>
      </c>
    </row>
    <row r="43">
      <c r="A43" s="2" t="inlineStr">
        <is>
          <t>DEPRECIACIÓN Y AMORTIZACIÓN</t>
        </is>
      </c>
    </row>
    <row r="44">
      <c r="A44" s="2" t="inlineStr">
        <is>
          <t>(EN US$)</t>
        </is>
      </c>
    </row>
    <row r="45">
      <c r="A45" s="1" t="inlineStr"/>
      <c r="B45" s="1" t="inlineStr">
        <is>
          <t>CONCEPTO</t>
        </is>
      </c>
      <c r="C45" s="1" t="inlineStr">
        <is>
          <t>VALOR</t>
        </is>
      </c>
      <c r="D45" s="1" t="inlineStr">
        <is>
          <t>VIDA</t>
        </is>
      </c>
      <c r="E45" s="1" t="inlineStr">
        <is>
          <t>AÑO 1</t>
        </is>
      </c>
      <c r="F45" s="1" t="inlineStr">
        <is>
          <t>AÑO 2</t>
        </is>
      </c>
      <c r="G45" s="1" t="inlineStr">
        <is>
          <t>AÑO 3</t>
        </is>
      </c>
      <c r="H45" s="1" t="inlineStr">
        <is>
          <t>AÑO 4</t>
        </is>
      </c>
      <c r="I45" s="1" t="inlineStr">
        <is>
          <t>AÑO 5</t>
        </is>
      </c>
      <c r="J45" s="1" t="inlineStr">
        <is>
          <t>VALOR RESIDUAL</t>
        </is>
      </c>
    </row>
    <row r="46">
      <c r="A46" s="1" t="inlineStr"/>
      <c r="B46" s="1" t="inlineStr"/>
      <c r="C46" s="1" t="inlineStr">
        <is>
          <t>ACTIVO</t>
        </is>
      </c>
      <c r="D46" s="1" t="inlineStr">
        <is>
          <t>ÚTIL</t>
        </is>
      </c>
      <c r="E46" s="1" t="inlineStr"/>
      <c r="F46" s="1" t="inlineStr"/>
      <c r="G46" s="1" t="inlineStr"/>
      <c r="H46" s="1" t="inlineStr"/>
      <c r="I46" s="1" t="inlineStr"/>
      <c r="J46" s="1" t="inlineStr"/>
    </row>
    <row r="47">
      <c r="A47" s="1" t="inlineStr"/>
      <c r="B47" s="1" t="inlineStr">
        <is>
          <t>Activos Fijos:</t>
        </is>
      </c>
    </row>
    <row r="48">
      <c r="A48" s="1" t="inlineStr"/>
      <c r="B48" s="1" t="inlineStr">
        <is>
          <t xml:space="preserve">  Preparación del Sitio</t>
        </is>
      </c>
      <c r="C48" s="1" t="inlineStr">
        <is>
          <t>22,500</t>
        </is>
      </c>
      <c r="D48" s="1" t="inlineStr">
        <is>
          <t>15</t>
        </is>
      </c>
      <c r="E48" s="1" t="inlineStr">
        <is>
          <t>1,500</t>
        </is>
      </c>
      <c r="F48" s="1" t="inlineStr">
        <is>
          <t>1,500</t>
        </is>
      </c>
      <c r="G48" s="1" t="inlineStr">
        <is>
          <t>1,500</t>
        </is>
      </c>
      <c r="H48" s="1" t="inlineStr">
        <is>
          <t>1,500</t>
        </is>
      </c>
      <c r="I48" s="1" t="inlineStr">
        <is>
          <t>1,500</t>
        </is>
      </c>
      <c r="J48" s="1" t="inlineStr">
        <is>
          <t>7,500</t>
        </is>
      </c>
    </row>
    <row r="49">
      <c r="A49" s="1" t="inlineStr"/>
      <c r="B49" s="1" t="inlineStr">
        <is>
          <t xml:space="preserve">  Ingeniería Civil Indirectos</t>
        </is>
      </c>
      <c r="C49" s="1" t="inlineStr">
        <is>
          <t>50,400</t>
        </is>
      </c>
      <c r="D49" s="1" t="inlineStr">
        <is>
          <t>15</t>
        </is>
      </c>
      <c r="E49" s="1" t="inlineStr">
        <is>
          <t>3,360</t>
        </is>
      </c>
      <c r="F49" s="1" t="inlineStr">
        <is>
          <t>3,360</t>
        </is>
      </c>
      <c r="G49" s="1" t="inlineStr">
        <is>
          <t>3,360</t>
        </is>
      </c>
      <c r="H49" s="1" t="inlineStr">
        <is>
          <t>3,360</t>
        </is>
      </c>
      <c r="I49" s="1" t="inlineStr">
        <is>
          <t>3,360</t>
        </is>
      </c>
      <c r="J49" s="1" t="inlineStr">
        <is>
          <t>16,800</t>
        </is>
      </c>
    </row>
    <row r="50">
      <c r="A50" s="1" t="inlineStr"/>
      <c r="B50" s="1" t="inlineStr">
        <is>
          <t xml:space="preserve">  Ingeniería Civil Directos</t>
        </is>
      </c>
      <c r="C50" s="1" t="inlineStr">
        <is>
          <t>30,940</t>
        </is>
      </c>
      <c r="D50" s="1" t="inlineStr">
        <is>
          <t>15</t>
        </is>
      </c>
      <c r="E50" s="1" t="inlineStr">
        <is>
          <t>2,063</t>
        </is>
      </c>
      <c r="F50" s="1" t="inlineStr">
        <is>
          <t>2,063</t>
        </is>
      </c>
      <c r="G50" s="1" t="inlineStr">
        <is>
          <t>2,063</t>
        </is>
      </c>
      <c r="H50" s="1" t="inlineStr">
        <is>
          <t>2,063</t>
        </is>
      </c>
      <c r="I50" s="1" t="inlineStr">
        <is>
          <t>2,063</t>
        </is>
      </c>
      <c r="J50" s="1" t="inlineStr">
        <is>
          <t>10,313</t>
        </is>
      </c>
    </row>
    <row r="51">
      <c r="A51" s="1" t="inlineStr"/>
      <c r="B51" s="1" t="inlineStr">
        <is>
          <t xml:space="preserve">  Maquinaria y Equipo</t>
        </is>
      </c>
      <c r="C51" s="1" t="inlineStr">
        <is>
          <t>850,000</t>
        </is>
      </c>
      <c r="D51" s="1" t="inlineStr">
        <is>
          <t>5</t>
        </is>
      </c>
      <c r="E51" s="1" t="inlineStr">
        <is>
          <t>170,000</t>
        </is>
      </c>
      <c r="F51" s="1" t="inlineStr">
        <is>
          <t>170,000</t>
        </is>
      </c>
      <c r="G51" s="1" t="inlineStr">
        <is>
          <t>170,000</t>
        </is>
      </c>
      <c r="H51" s="1" t="inlineStr">
        <is>
          <t>170,000</t>
        </is>
      </c>
      <c r="I51" s="1" t="inlineStr">
        <is>
          <t>170,000</t>
        </is>
      </c>
      <c r="J51" s="1" t="inlineStr">
        <is>
          <t>0</t>
        </is>
      </c>
    </row>
    <row r="52">
      <c r="A52" s="1" t="inlineStr"/>
      <c r="B52" s="1" t="inlineStr">
        <is>
          <t xml:space="preserve">  Ensamblaje e Instalación</t>
        </is>
      </c>
      <c r="C52" s="1" t="inlineStr">
        <is>
          <t>212,500</t>
        </is>
      </c>
      <c r="D52" s="1" t="inlineStr">
        <is>
          <t>5</t>
        </is>
      </c>
      <c r="E52" s="1" t="inlineStr">
        <is>
          <t>42,500</t>
        </is>
      </c>
      <c r="F52" s="1" t="inlineStr">
        <is>
          <t>42,500</t>
        </is>
      </c>
      <c r="G52" s="1" t="inlineStr">
        <is>
          <t>42,500</t>
        </is>
      </c>
      <c r="H52" s="1" t="inlineStr">
        <is>
          <t>42,500</t>
        </is>
      </c>
      <c r="I52" s="1" t="inlineStr">
        <is>
          <t>42,500</t>
        </is>
      </c>
      <c r="J52" s="1" t="inlineStr">
        <is>
          <t>0</t>
        </is>
      </c>
    </row>
    <row r="53">
      <c r="A53" s="1" t="inlineStr"/>
      <c r="B53" s="1" t="inlineStr">
        <is>
          <t xml:space="preserve">  Equipo de Oficina</t>
        </is>
      </c>
      <c r="C53" s="1" t="inlineStr">
        <is>
          <t>15,000</t>
        </is>
      </c>
      <c r="D53" s="1" t="inlineStr">
        <is>
          <t>2</t>
        </is>
      </c>
      <c r="E53" s="1" t="inlineStr">
        <is>
          <t>7,500</t>
        </is>
      </c>
      <c r="F53" s="1" t="inlineStr">
        <is>
          <t>7,500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</row>
    <row r="54">
      <c r="A54" s="1" t="inlineStr"/>
      <c r="B54" s="1" t="inlineStr">
        <is>
          <t xml:space="preserve">  Equipo de Transporte</t>
        </is>
      </c>
      <c r="C54" s="1" t="inlineStr">
        <is>
          <t>50,500</t>
        </is>
      </c>
      <c r="D54" s="1" t="inlineStr">
        <is>
          <t>5</t>
        </is>
      </c>
      <c r="E54" s="1" t="inlineStr">
        <is>
          <t>10,100</t>
        </is>
      </c>
      <c r="F54" s="1" t="inlineStr">
        <is>
          <t>10,100</t>
        </is>
      </c>
      <c r="G54" s="1" t="inlineStr">
        <is>
          <t>10,100</t>
        </is>
      </c>
      <c r="H54" s="1" t="inlineStr">
        <is>
          <t>10,100</t>
        </is>
      </c>
      <c r="I54" s="1" t="inlineStr">
        <is>
          <t>10,100</t>
        </is>
      </c>
      <c r="J54" s="1" t="inlineStr">
        <is>
          <t>0</t>
        </is>
      </c>
    </row>
    <row r="55">
      <c r="A55" s="1" t="inlineStr"/>
      <c r="B55" s="1" t="inlineStr">
        <is>
          <t>Gastos Preoperativos</t>
        </is>
      </c>
      <c r="C55" s="1" t="inlineStr">
        <is>
          <t>82,850</t>
        </is>
      </c>
      <c r="D55" s="1" t="inlineStr">
        <is>
          <t>5</t>
        </is>
      </c>
      <c r="E55" s="1" t="inlineStr">
        <is>
          <t>16,570</t>
        </is>
      </c>
      <c r="F55" s="1" t="inlineStr">
        <is>
          <t>16,570</t>
        </is>
      </c>
      <c r="G55" s="1" t="inlineStr">
        <is>
          <t>16,570</t>
        </is>
      </c>
      <c r="H55" s="1" t="inlineStr">
        <is>
          <t>16,570</t>
        </is>
      </c>
      <c r="I55" s="1" t="inlineStr">
        <is>
          <t>16,570</t>
        </is>
      </c>
      <c r="J55" s="1" t="inlineStr">
        <is>
          <t>0</t>
        </is>
      </c>
    </row>
    <row r="56">
      <c r="A56" s="1" t="inlineStr"/>
      <c r="B56" s="1" t="inlineStr">
        <is>
          <t>TOTAL DEPRECIACIÓN/AMORTIZACIÓN</t>
        </is>
      </c>
      <c r="C56" s="1" t="inlineStr"/>
      <c r="D56" s="1" t="inlineStr"/>
      <c r="E56" s="1">
        <f>SUM(E48:E55)</f>
        <v/>
      </c>
      <c r="F56" s="1">
        <f>SUM(F48:F55)</f>
        <v/>
      </c>
      <c r="G56" s="1">
        <f>SUM(G48:G55)</f>
        <v/>
      </c>
      <c r="H56" s="1">
        <f>SUM(H48:H55)</f>
        <v/>
      </c>
      <c r="I56" s="1">
        <f>SUM(I48:I55)</f>
        <v/>
      </c>
      <c r="J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2026-05-21T18:21:09Z</dcterms:created>
  <dcterms:modified xmlns:dcterms="http://purl.org/dc/terms/" xmlns:xsi="http://www.w3.org/2001/XMLSchema-instance" xsi:type="dcterms:W3CDTF">2026-05-21T18:21:09Z</dcterms:modified>
</cp:coreProperties>
</file>
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amento del Pronóstico" sheetId="1" state="visible" r:id="rId1"/>
    <sheet xmlns:r="http://schemas.openxmlformats.org/officeDocument/2006/relationships" name="Fases" sheetId="2" state="visible" r:id="rId2"/>
    <sheet xmlns:r="http://schemas.openxmlformats.org/officeDocument/2006/relationships" name="TAB1-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40"/>
  <sheetViews>
    <sheetView workbookViewId="0">
      <selection activeCell="A1" sqref="A1"/>
    </sheetView>
  </sheetViews>
  <sheetFormatPr baseColWidth="8" defaultRowHeight="15"/>
  <sheetData>
    <row r="2">
      <c r="A2" s="1" t="inlineStr">
        <is>
          <t>Fundamento del Pronóstico Financiero</t>
        </is>
      </c>
    </row>
    <row r="3">
      <c r="A3" s="1" t="inlineStr">
        <is>
          <t>Caso: Hamacas de Exportación 2025</t>
        </is>
      </c>
    </row>
    <row r="4">
      <c r="A4" s="1" t="inlineStr"/>
    </row>
    <row r="5">
      <c r="A5" s="1" t="inlineStr">
        <is>
          <t>SUPUESTOS GENERALES:</t>
        </is>
      </c>
    </row>
    <row r="6">
      <c r="A6" s="1" t="inlineStr">
        <is>
          <t>Tipo de Empresa</t>
        </is>
      </c>
      <c r="B6" s="1" t="inlineStr">
        <is>
          <t>INDUSTRIA MANUFACTURERA</t>
        </is>
      </c>
    </row>
    <row r="7">
      <c r="A7" s="1" t="inlineStr">
        <is>
          <t>Mercado</t>
        </is>
      </c>
      <c r="B7" s="1" t="inlineStr">
        <is>
          <t>EXPORTACIÓN A EE.UU.</t>
        </is>
      </c>
    </row>
    <row r="8">
      <c r="A8" s="1" t="inlineStr">
        <is>
          <t>Año Calendario</t>
        </is>
      </c>
      <c r="B8" s="1" t="inlineStr">
        <is>
          <t>360 días</t>
        </is>
      </c>
    </row>
    <row r="9">
      <c r="A9" s="1" t="inlineStr">
        <is>
          <t>Días Operativos</t>
        </is>
      </c>
      <c r="B9" s="1" t="inlineStr">
        <is>
          <t>365 días/año</t>
        </is>
      </c>
    </row>
    <row r="10">
      <c r="A10" s="1" t="inlineStr"/>
    </row>
    <row r="11">
      <c r="A11" s="1" t="inlineStr">
        <is>
          <t>PARAMETROS ECONÓMICOS:</t>
        </is>
      </c>
    </row>
    <row r="12">
      <c r="A12" s="1" t="inlineStr">
        <is>
          <t>Precio Venta por Docena</t>
        </is>
      </c>
      <c r="B12" s="1" t="inlineStr">
        <is>
          <t>$800</t>
        </is>
      </c>
    </row>
    <row r="13">
      <c r="A13" s="1" t="inlineStr">
        <is>
          <t>Demanda Insatisfecha</t>
        </is>
      </c>
      <c r="B13" s="1" t="inlineStr">
        <is>
          <t>5,000 docenas anuales</t>
        </is>
      </c>
    </row>
    <row r="14">
      <c r="A14" s="1" t="inlineStr">
        <is>
          <t>Capacidad de Planta</t>
        </is>
      </c>
      <c r="B14" s="1" t="inlineStr">
        <is>
          <t>5,000 docenas/año (máxima)</t>
        </is>
      </c>
    </row>
    <row r="15">
      <c r="A15" s="1" t="inlineStr"/>
    </row>
    <row r="16">
      <c r="A16" s="1" t="inlineStr">
        <is>
          <t>VIDA DEL PROYECTO:</t>
        </is>
      </c>
    </row>
    <row r="17">
      <c r="A17" s="1" t="inlineStr">
        <is>
          <t>Construcción</t>
        </is>
      </c>
      <c r="B17" s="1" t="inlineStr">
        <is>
          <t>1 año</t>
        </is>
      </c>
    </row>
    <row r="18">
      <c r="A18" s="1" t="inlineStr">
        <is>
          <t>Producción</t>
        </is>
      </c>
      <c r="B18" s="1" t="inlineStr">
        <is>
          <t>5 años</t>
        </is>
      </c>
    </row>
    <row r="19">
      <c r="A19" s="1" t="inlineStr">
        <is>
          <t>Total</t>
        </is>
      </c>
      <c r="B19" s="1" t="inlineStr">
        <is>
          <t>6 años</t>
        </is>
      </c>
    </row>
    <row r="20">
      <c r="A20" s="1" t="inlineStr"/>
    </row>
    <row r="21">
      <c r="A21" s="1" t="inlineStr">
        <is>
          <t>REGIMEN TRIBUTARIO:</t>
        </is>
      </c>
    </row>
    <row r="22">
      <c r="A22" s="1" t="inlineStr">
        <is>
          <t>ISR - Primeros 2 años</t>
        </is>
      </c>
      <c r="B22" s="1" t="inlineStr">
        <is>
          <t>0% (exención)</t>
        </is>
      </c>
    </row>
    <row r="23">
      <c r="A23" s="1" t="inlineStr">
        <is>
          <t>ISR - A partir del 3er año</t>
        </is>
      </c>
      <c r="B23" s="1" t="inlineStr">
        <is>
          <t>30%</t>
        </is>
      </c>
    </row>
    <row r="24">
      <c r="A24" s="1" t="inlineStr">
        <is>
          <t>IVA</t>
        </is>
      </c>
      <c r="B24" s="1" t="inlineStr">
        <is>
          <t>13%</t>
        </is>
      </c>
    </row>
    <row r="25">
      <c r="A25" s="1" t="inlineStr"/>
    </row>
    <row r="26">
      <c r="A26" s="1" t="inlineStr">
        <is>
          <t>FINANCIAMIENTO:</t>
        </is>
      </c>
    </row>
    <row r="27">
      <c r="A27" s="1" t="inlineStr">
        <is>
          <t>Capital Social</t>
        </is>
      </c>
      <c r="B27" s="1" t="inlineStr">
        <is>
          <t>$500,000</t>
        </is>
      </c>
    </row>
    <row r="28">
      <c r="A28" s="1" t="inlineStr">
        <is>
          <t>Crédito Largo Plazo:</t>
        </is>
      </c>
      <c r="B28" s="1" t="inlineStr"/>
    </row>
    <row r="29">
      <c r="A29" s="1" t="inlineStr">
        <is>
          <t xml:space="preserve">  Porcentaje Activo Fijo</t>
        </is>
      </c>
      <c r="B29" s="1" t="inlineStr">
        <is>
          <t>45%</t>
        </is>
      </c>
    </row>
    <row r="30">
      <c r="A30" s="1" t="inlineStr">
        <is>
          <t xml:space="preserve">  Tasa de Interés</t>
        </is>
      </c>
      <c r="B30" s="1" t="inlineStr">
        <is>
          <t>10% anual</t>
        </is>
      </c>
    </row>
    <row r="31">
      <c r="A31" s="1" t="inlineStr">
        <is>
          <t xml:space="preserve">  Plazo</t>
        </is>
      </c>
      <c r="B31" s="1" t="inlineStr">
        <is>
          <t>6 años</t>
        </is>
      </c>
    </row>
    <row r="32">
      <c r="A32" s="1" t="inlineStr">
        <is>
          <t xml:space="preserve">  Periodo de Gracia</t>
        </is>
      </c>
      <c r="B32" s="1" t="inlineStr">
        <is>
          <t>1 año (solo intereses)</t>
        </is>
      </c>
    </row>
    <row r="33">
      <c r="A33" s="1" t="inlineStr">
        <is>
          <t>Crédito Corto Plazo:</t>
        </is>
      </c>
      <c r="B33" s="1" t="inlineStr"/>
    </row>
    <row r="34">
      <c r="A34" s="1" t="inlineStr">
        <is>
          <t xml:space="preserve">  Tasa de Interés</t>
        </is>
      </c>
      <c r="B34" s="1" t="inlineStr">
        <is>
          <t>9% anual</t>
        </is>
      </c>
    </row>
    <row r="35">
      <c r="A35" s="1" t="inlineStr">
        <is>
          <t xml:space="preserve">  Plazo</t>
        </is>
      </c>
      <c r="B35" s="1" t="inlineStr">
        <is>
          <t>3 años</t>
        </is>
      </c>
    </row>
    <row r="36">
      <c r="A36" s="1" t="inlineStr">
        <is>
          <t xml:space="preserve">  Periodo de Gracia</t>
        </is>
      </c>
      <c r="B36" s="1" t="inlineStr">
        <is>
          <t>2 años</t>
        </is>
      </c>
    </row>
    <row r="37">
      <c r="A37" s="1" t="inlineStr"/>
    </row>
    <row r="38">
      <c r="A38" s="1" t="inlineStr">
        <is>
          <t>DIVIDENDOS:</t>
        </is>
      </c>
    </row>
    <row r="39">
      <c r="A39" s="1" t="inlineStr">
        <is>
          <t>Inicio Distribución</t>
        </is>
      </c>
      <c r="B39" s="1" t="inlineStr">
        <is>
          <t>3er año de operación</t>
        </is>
      </c>
    </row>
    <row r="40">
      <c r="A40" s="1" t="inlineStr">
        <is>
          <t>Porcentaje</t>
        </is>
      </c>
      <c r="B40" s="1" t="inlineStr">
        <is>
          <t>10% del capital social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J8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FASES DEL PROYECTO</t>
        </is>
      </c>
    </row>
    <row r="3">
      <c r="A3" s="1" t="inlineStr"/>
    </row>
    <row r="4">
      <c r="A4" s="1" t="inlineStr"/>
      <c r="B4" s="1" t="inlineStr">
        <is>
          <t>PRE-INVERSIÓN</t>
        </is>
      </c>
      <c r="C4" s="1" t="inlineStr"/>
      <c r="D4" s="1" t="inlineStr"/>
      <c r="E4" s="1" t="inlineStr">
        <is>
          <t>INVERSIÓN</t>
        </is>
      </c>
      <c r="F4" s="1" t="inlineStr"/>
      <c r="G4" s="1" t="inlineStr">
        <is>
          <t>OPERACIÓN</t>
        </is>
      </c>
    </row>
    <row r="5">
      <c r="A5" s="1" t="inlineStr">
        <is>
          <t>Estudios</t>
        </is>
      </c>
      <c r="B5" s="1" t="inlineStr">
        <is>
          <t>Prefactibilidad</t>
        </is>
      </c>
      <c r="C5" s="1" t="inlineStr">
        <is>
          <t>Factibilidad</t>
        </is>
      </c>
      <c r="D5" s="1" t="inlineStr">
        <is>
          <t>Construcción</t>
        </is>
      </c>
      <c r="E5" s="1" t="inlineStr">
        <is>
          <t>Arranque</t>
        </is>
      </c>
      <c r="F5" s="1" t="inlineStr">
        <is>
          <t>Plena Capacidad</t>
        </is>
      </c>
    </row>
    <row r="6">
      <c r="A6" s="1" t="inlineStr"/>
      <c r="B6" s="1" t="inlineStr"/>
      <c r="C6" s="1" t="inlineStr"/>
      <c r="D6" s="1" t="inlineStr">
        <is>
          <t>Sem 1</t>
        </is>
      </c>
      <c r="E6" s="1" t="inlineStr">
        <is>
          <t>Sem 2</t>
        </is>
      </c>
      <c r="F6" s="1" t="inlineStr">
        <is>
          <t>Año 1</t>
        </is>
      </c>
      <c r="G6" s="1" t="inlineStr">
        <is>
          <t>Año 2</t>
        </is>
      </c>
      <c r="H6" s="1" t="inlineStr">
        <is>
          <t>Año 3</t>
        </is>
      </c>
      <c r="I6" s="1" t="inlineStr">
        <is>
          <t>Año 4</t>
        </is>
      </c>
      <c r="J6" s="1" t="inlineStr">
        <is>
          <t>Año 5</t>
        </is>
      </c>
    </row>
    <row r="7">
      <c r="A7" s="1" t="inlineStr">
        <is>
          <t>Capacidad %</t>
        </is>
      </c>
      <c r="B7" s="1" t="inlineStr"/>
      <c r="C7" s="1" t="inlineStr"/>
      <c r="D7" s="1" t="inlineStr">
        <is>
          <t>0%</t>
        </is>
      </c>
      <c r="E7" s="1" t="inlineStr">
        <is>
          <t>0%</t>
        </is>
      </c>
      <c r="F7" s="1" t="inlineStr">
        <is>
          <t>75%</t>
        </is>
      </c>
      <c r="G7" s="1" t="inlineStr">
        <is>
          <t>90%</t>
        </is>
      </c>
      <c r="H7" s="1" t="inlineStr">
        <is>
          <t>100%</t>
        </is>
      </c>
      <c r="I7" s="1" t="inlineStr">
        <is>
          <t>100%</t>
        </is>
      </c>
      <c r="J7" s="1" t="inlineStr">
        <is>
          <t>100%</t>
        </is>
      </c>
    </row>
    <row r="8">
      <c r="A8" s="1" t="inlineStr">
        <is>
          <t>Producción (docenas)</t>
        </is>
      </c>
      <c r="B8" s="1" t="inlineStr"/>
      <c r="C8" s="1" t="inlineStr"/>
      <c r="D8" s="1" t="inlineStr">
        <is>
          <t>0</t>
        </is>
      </c>
      <c r="E8" s="1" t="inlineStr">
        <is>
          <t>0</t>
        </is>
      </c>
      <c r="F8" s="1" t="inlineStr">
        <is>
          <t>3,750</t>
        </is>
      </c>
      <c r="G8" s="1" t="inlineStr">
        <is>
          <t>4,500</t>
        </is>
      </c>
      <c r="H8" s="1" t="inlineStr">
        <is>
          <t>5,000</t>
        </is>
      </c>
      <c r="I8" s="1" t="inlineStr">
        <is>
          <t>5,000</t>
        </is>
      </c>
      <c r="J8" s="1" t="inlineStr">
        <is>
          <t>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I45"/>
  <sheetViews>
    <sheetView workbookViewId="0">
      <selection activeCell="A1" sqref="A1"/>
    </sheetView>
  </sheetViews>
  <sheetFormatPr baseColWidth="8" defaultRowHeight="15"/>
  <sheetData>
    <row r="2">
      <c r="A2" s="2" t="inlineStr">
        <is>
          <t>TABLA 1: GASTOS PREOPERATIVOS (EN US$)</t>
        </is>
      </c>
    </row>
    <row r="3">
      <c r="A3" s="1" t="inlineStr">
        <is>
          <t>Concepto</t>
        </is>
      </c>
      <c r="B3" s="1" t="inlineStr">
        <is>
          <t>Total</t>
        </is>
      </c>
      <c r="C3" s="1" t="inlineStr">
        <is>
          <t>Semestre 1</t>
        </is>
      </c>
      <c r="D3" s="1" t="inlineStr">
        <is>
          <t>Semestre 2</t>
        </is>
      </c>
    </row>
    <row r="4">
      <c r="A4" s="1" t="inlineStr">
        <is>
          <t>Estudio de Preinversión</t>
        </is>
      </c>
      <c r="B4" s="3" t="n">
        <v>10000</v>
      </c>
      <c r="C4" s="3" t="n">
        <v>10000</v>
      </c>
      <c r="D4" s="3" t="n">
        <v>0</v>
      </c>
    </row>
    <row r="5">
      <c r="A5" s="1" t="inlineStr">
        <is>
          <t>Análisis y Pruebas</t>
        </is>
      </c>
      <c r="B5" s="3" t="n">
        <v>15000</v>
      </c>
      <c r="C5" s="3" t="n">
        <v>0</v>
      </c>
      <c r="D5" s="3" t="n">
        <v>15000</v>
      </c>
    </row>
    <row r="6">
      <c r="A6" s="1" t="inlineStr">
        <is>
          <t>Supervisión y Coordinación</t>
        </is>
      </c>
      <c r="B6" s="3" t="n">
        <v>15000</v>
      </c>
      <c r="C6" s="3" t="n">
        <v>7500</v>
      </c>
      <c r="D6" s="3" t="n">
        <v>7500</v>
      </c>
    </row>
    <row r="7">
      <c r="A7" s="1" t="inlineStr">
        <is>
          <t>Planificación y Preparación</t>
        </is>
      </c>
      <c r="B7" s="3" t="n">
        <v>10000</v>
      </c>
      <c r="C7" s="3" t="n">
        <v>5000</v>
      </c>
      <c r="D7" s="3" t="n">
        <v>5000</v>
      </c>
    </row>
    <row r="8">
      <c r="A8" s="1" t="inlineStr">
        <is>
          <t>Reclutamiento y Entrenamiento</t>
        </is>
      </c>
      <c r="B8" s="3" t="n">
        <v>12500</v>
      </c>
      <c r="C8" s="3" t="n">
        <v>0</v>
      </c>
      <c r="D8" s="3" t="n">
        <v>12500</v>
      </c>
    </row>
    <row r="9">
      <c r="A9" s="1" t="inlineStr">
        <is>
          <t>Constitución de Sociedad</t>
        </is>
      </c>
      <c r="B9" s="3" t="n">
        <v>3000</v>
      </c>
      <c r="C9" s="3" t="n">
        <v>0</v>
      </c>
      <c r="D9" s="3" t="n">
        <v>3000</v>
      </c>
    </row>
    <row r="10">
      <c r="A10" s="1" t="inlineStr">
        <is>
          <t>Licencia Industrial</t>
        </is>
      </c>
      <c r="B10" s="3" t="n">
        <v>1000</v>
      </c>
      <c r="C10" s="3" t="n">
        <v>0</v>
      </c>
      <c r="D10" s="3" t="n">
        <v>1000</v>
      </c>
    </row>
    <row r="11">
      <c r="A11" s="1" t="inlineStr">
        <is>
          <t>Licencia Comercial</t>
        </is>
      </c>
      <c r="B11" s="3" t="n">
        <v>1000</v>
      </c>
      <c r="C11" s="3" t="n">
        <v>0</v>
      </c>
      <c r="D11" s="3" t="n">
        <v>1000</v>
      </c>
    </row>
    <row r="12">
      <c r="A12" s="1" t="inlineStr">
        <is>
          <t>Establecimiento Contabilidad</t>
        </is>
      </c>
      <c r="B12" s="3" t="n">
        <v>3000</v>
      </c>
      <c r="C12" s="3" t="n">
        <v>1000</v>
      </c>
      <c r="D12" s="3" t="n">
        <v>2000</v>
      </c>
    </row>
    <row r="13">
      <c r="A13" s="1" t="inlineStr">
        <is>
          <t>Costos de Promoción</t>
        </is>
      </c>
      <c r="B13" s="3" t="n">
        <v>2000</v>
      </c>
      <c r="C13" s="3" t="n">
        <v>0</v>
      </c>
      <c r="D13" s="3" t="n">
        <v>2000</v>
      </c>
    </row>
    <row r="14">
      <c r="A14" s="1" t="inlineStr">
        <is>
          <t>Campaña de Mercadeo</t>
        </is>
      </c>
      <c r="B14" s="3" t="n">
        <v>2000</v>
      </c>
      <c r="C14" s="3" t="n">
        <v>0</v>
      </c>
      <c r="D14" s="3" t="n">
        <v>2000</v>
      </c>
    </row>
    <row r="15">
      <c r="A15" s="1" t="inlineStr">
        <is>
          <t>Enlace con Bancos</t>
        </is>
      </c>
      <c r="B15" s="3" t="n">
        <v>2000</v>
      </c>
      <c r="C15" s="3" t="n">
        <v>0</v>
      </c>
      <c r="D15" s="3" t="n">
        <v>2000</v>
      </c>
    </row>
    <row r="16">
      <c r="A16" s="1" t="inlineStr">
        <is>
          <t>Pruebas de Bioseguridad</t>
        </is>
      </c>
      <c r="B16" s="3" t="n">
        <v>8350</v>
      </c>
      <c r="C16" s="3" t="n">
        <v>0</v>
      </c>
      <c r="D16" s="3" t="n">
        <v>8350</v>
      </c>
    </row>
    <row r="17">
      <c r="A17" s="1" t="inlineStr">
        <is>
          <t>TOTAL GASTOS PREOPERATIVOS</t>
        </is>
      </c>
      <c r="B17" s="1">
        <f>SUM(B3:B16)</f>
        <v/>
      </c>
      <c r="C17" s="1">
        <f>SUM(C3:C16)</f>
        <v/>
      </c>
      <c r="D17" s="1">
        <f>SUM(D3:D16)</f>
        <v/>
      </c>
    </row>
    <row r="20">
      <c r="A20" s="2" t="inlineStr">
        <is>
          <t>TABLA 2: ACTIVOS FIJOS Y REEMPLAZOS (EN US$)</t>
        </is>
      </c>
    </row>
    <row r="21">
      <c r="A21" s="1" t="inlineStr">
        <is>
          <t>Concepto</t>
        </is>
      </c>
      <c r="B21" s="1" t="inlineStr">
        <is>
          <t>Total</t>
        </is>
      </c>
      <c r="C21" s="1" t="inlineStr">
        <is>
          <t>Sem 1</t>
        </is>
      </c>
      <c r="D21" s="1" t="inlineStr">
        <is>
          <t>Sem 2</t>
        </is>
      </c>
      <c r="E21" s="1" t="inlineStr">
        <is>
          <t>Vida Útil</t>
        </is>
      </c>
    </row>
    <row r="22">
      <c r="A22" s="1" t="inlineStr">
        <is>
          <t>Terreno (donación)</t>
        </is>
      </c>
      <c r="B22" s="3" t="n">
        <v>0</v>
      </c>
      <c r="C22" s="3" t="n">
        <v>0</v>
      </c>
      <c r="D22" s="3" t="n">
        <v>0</v>
      </c>
      <c r="E22" s="1" t="inlineStr">
        <is>
          <t>N/A</t>
        </is>
      </c>
    </row>
    <row r="23">
      <c r="A23" s="1" t="inlineStr">
        <is>
          <t>Preparación del Sitio</t>
        </is>
      </c>
      <c r="B23" s="3" t="n">
        <v>22500</v>
      </c>
      <c r="C23" s="3" t="n">
        <v>22500</v>
      </c>
      <c r="D23" s="3" t="n">
        <v>0</v>
      </c>
      <c r="E23" s="3" t="n">
        <v>15</v>
      </c>
    </row>
    <row r="24">
      <c r="A24" s="1" t="inlineStr">
        <is>
          <t>Ingeniería Civil (Indirectos)</t>
        </is>
      </c>
      <c r="B24" s="3" t="n">
        <v>50400</v>
      </c>
      <c r="C24" s="3" t="n">
        <v>25200</v>
      </c>
      <c r="D24" s="3" t="n">
        <v>25200</v>
      </c>
      <c r="E24" s="3" t="n">
        <v>15</v>
      </c>
    </row>
    <row r="25">
      <c r="A25" s="1" t="inlineStr">
        <is>
          <t>Ingeniería Civil (Directos)</t>
        </is>
      </c>
      <c r="B25" s="3" t="n">
        <v>30940</v>
      </c>
      <c r="C25" s="3" t="n">
        <v>15470</v>
      </c>
      <c r="D25" s="3" t="n">
        <v>15470</v>
      </c>
      <c r="E25" s="3" t="n">
        <v>15</v>
      </c>
    </row>
    <row r="26">
      <c r="A26" s="1" t="inlineStr">
        <is>
          <t>Maquinaria y Equipo</t>
        </is>
      </c>
      <c r="B26" s="3" t="n">
        <v>850000</v>
      </c>
      <c r="C26" s="3" t="n">
        <v>212500</v>
      </c>
      <c r="D26" s="3" t="n">
        <v>637500</v>
      </c>
      <c r="E26" s="3" t="n">
        <v>5</v>
      </c>
    </row>
    <row r="27">
      <c r="A27" s="1" t="inlineStr">
        <is>
          <t>Ensamblaje e Instalación</t>
        </is>
      </c>
      <c r="B27" s="3" t="n">
        <v>212500</v>
      </c>
      <c r="C27" s="3" t="n">
        <v>0</v>
      </c>
      <c r="D27" s="3" t="n">
        <v>212500</v>
      </c>
      <c r="E27" s="3" t="n">
        <v>5</v>
      </c>
    </row>
    <row r="28">
      <c r="A28" s="1" t="inlineStr">
        <is>
          <t>Equipo de Oficina</t>
        </is>
      </c>
      <c r="B28" s="3" t="n">
        <v>15000</v>
      </c>
      <c r="C28" s="3" t="n">
        <v>0</v>
      </c>
      <c r="D28" s="3" t="n">
        <v>15000</v>
      </c>
      <c r="E28" s="3" t="n">
        <v>2</v>
      </c>
    </row>
    <row r="29">
      <c r="A29" s="1" t="inlineStr">
        <is>
          <t>Equipo de Transporte</t>
        </is>
      </c>
      <c r="B29" s="3" t="n">
        <v>50500</v>
      </c>
      <c r="C29" s="3" t="n">
        <v>0</v>
      </c>
      <c r="D29" s="3" t="n">
        <v>50500</v>
      </c>
      <c r="E29" s="3" t="n">
        <v>5</v>
      </c>
    </row>
    <row r="30">
      <c r="A30" s="1" t="inlineStr">
        <is>
          <t>Subtotal</t>
        </is>
      </c>
      <c r="B30" s="1">
        <f>SUM(B23:B30)</f>
        <v/>
      </c>
      <c r="C30" s="1">
        <f>SUM(C23:C30)</f>
        <v/>
      </c>
      <c r="D30" s="1">
        <f>SUM(D23:D30)</f>
        <v/>
      </c>
      <c r="E30" s="1" t="inlineStr"/>
    </row>
    <row r="31">
      <c r="A31" s="1" t="inlineStr">
        <is>
          <t>Imprevistos (10%)</t>
        </is>
      </c>
      <c r="B31" s="1">
        <f>0.1*(C24+C26+C27+C28+C29+C30)</f>
        <v/>
      </c>
      <c r="C31" s="1" t="inlineStr"/>
      <c r="D31" s="1" t="inlineStr"/>
      <c r="E31" s="1" t="inlineStr"/>
    </row>
    <row r="32">
      <c r="A32" s="1" t="inlineStr">
        <is>
          <t>TOTAL ACTIVOS FIJOS</t>
        </is>
      </c>
      <c r="B32" s="1">
        <f>B31+B32</f>
        <v/>
      </c>
      <c r="C32" s="1">
        <f>C31+C32</f>
        <v/>
      </c>
      <c r="D32" s="1">
        <f>D31+D32</f>
        <v/>
      </c>
      <c r="E32" s="1" t="inlineStr"/>
    </row>
    <row r="35">
      <c r="A35" s="2" t="inlineStr">
        <is>
          <t>TABLA 3: DEPRECIACIÓN Y AMORTIZACIÓN (EN US$)</t>
        </is>
      </c>
    </row>
    <row r="36">
      <c r="A36" s="2" t="inlineStr">
        <is>
          <t>Concepto</t>
        </is>
      </c>
      <c r="B36" s="2" t="inlineStr">
        <is>
          <t>Valor</t>
        </is>
      </c>
      <c r="C36" s="2" t="inlineStr">
        <is>
          <t>Vida</t>
        </is>
      </c>
      <c r="D36" s="2" t="inlineStr">
        <is>
          <t>Año 1</t>
        </is>
      </c>
      <c r="E36" s="2" t="inlineStr">
        <is>
          <t>Año 2</t>
        </is>
      </c>
      <c r="F36" s="2" t="inlineStr">
        <is>
          <t>Año 3</t>
        </is>
      </c>
      <c r="G36" s="2" t="inlineStr">
        <is>
          <t>Año 4</t>
        </is>
      </c>
      <c r="H36" s="2" t="inlineStr">
        <is>
          <t>Año 5</t>
        </is>
      </c>
      <c r="I36" s="2" t="inlineStr">
        <is>
          <t>Residual</t>
        </is>
      </c>
    </row>
    <row r="37">
      <c r="A37" s="1" t="inlineStr">
        <is>
          <t>Preparación del Sitio</t>
        </is>
      </c>
      <c r="B37" s="3" t="n">
        <v>22500</v>
      </c>
      <c r="C37" s="3" t="n">
        <v>15</v>
      </c>
      <c r="D37" s="3" t="n">
        <v>1500</v>
      </c>
      <c r="E37" s="3" t="n">
        <v>1500</v>
      </c>
      <c r="F37" s="3" t="n">
        <v>1500</v>
      </c>
      <c r="G37" s="3" t="n">
        <v>1500</v>
      </c>
      <c r="H37" s="3" t="n">
        <v>1500</v>
      </c>
      <c r="I37" s="3" t="n">
        <v>7500</v>
      </c>
    </row>
    <row r="38">
      <c r="A38" s="1" t="inlineStr">
        <is>
          <t>Ingeniería Civil Ind.</t>
        </is>
      </c>
      <c r="B38" s="3" t="n">
        <v>50400</v>
      </c>
      <c r="C38" s="3" t="n">
        <v>15</v>
      </c>
      <c r="D38" s="3" t="n">
        <v>3360</v>
      </c>
      <c r="E38" s="3" t="n">
        <v>3360</v>
      </c>
      <c r="F38" s="3" t="n">
        <v>3360</v>
      </c>
      <c r="G38" s="3" t="n">
        <v>3360</v>
      </c>
      <c r="H38" s="3" t="n">
        <v>3360</v>
      </c>
      <c r="I38" s="3" t="n">
        <v>16800</v>
      </c>
    </row>
    <row r="39">
      <c r="A39" s="1" t="inlineStr">
        <is>
          <t>Ingeniería Civil Dir.</t>
        </is>
      </c>
      <c r="B39" s="3" t="n">
        <v>30940</v>
      </c>
      <c r="C39" s="3" t="n">
        <v>15</v>
      </c>
      <c r="D39" s="3" t="n">
        <v>2063</v>
      </c>
      <c r="E39" s="3" t="n">
        <v>2063</v>
      </c>
      <c r="F39" s="3" t="n">
        <v>2063</v>
      </c>
      <c r="G39" s="3" t="n">
        <v>2063</v>
      </c>
      <c r="H39" s="3" t="n">
        <v>2063</v>
      </c>
      <c r="I39" s="3" t="n">
        <v>10313</v>
      </c>
    </row>
    <row r="40">
      <c r="A40" s="1" t="inlineStr">
        <is>
          <t>Maquinaria y Equipo</t>
        </is>
      </c>
      <c r="B40" s="3" t="n">
        <v>850000</v>
      </c>
      <c r="C40" s="3" t="n">
        <v>5</v>
      </c>
      <c r="D40" s="3" t="n">
        <v>170000</v>
      </c>
      <c r="E40" s="3" t="n">
        <v>170000</v>
      </c>
      <c r="F40" s="3" t="n">
        <v>170000</v>
      </c>
      <c r="G40" s="3" t="n">
        <v>170000</v>
      </c>
      <c r="H40" s="3" t="n">
        <v>170000</v>
      </c>
      <c r="I40" s="3" t="n">
        <v>0</v>
      </c>
    </row>
    <row r="41">
      <c r="A41" s="1" t="inlineStr">
        <is>
          <t>Ensamblaje e Instal.</t>
        </is>
      </c>
      <c r="B41" s="3" t="n">
        <v>212500</v>
      </c>
      <c r="C41" s="3" t="n">
        <v>5</v>
      </c>
      <c r="D41" s="3" t="n">
        <v>42500</v>
      </c>
      <c r="E41" s="3" t="n">
        <v>42500</v>
      </c>
      <c r="F41" s="3" t="n">
        <v>42500</v>
      </c>
      <c r="G41" s="3" t="n">
        <v>42500</v>
      </c>
      <c r="H41" s="3" t="n">
        <v>42500</v>
      </c>
      <c r="I41" s="3" t="n">
        <v>0</v>
      </c>
    </row>
    <row r="42">
      <c r="A42" s="1" t="inlineStr">
        <is>
          <t>Equipo de Oficina</t>
        </is>
      </c>
      <c r="B42" s="3" t="n">
        <v>15000</v>
      </c>
      <c r="C42" s="3" t="n">
        <v>2</v>
      </c>
      <c r="D42" s="3" t="n">
        <v>7500</v>
      </c>
      <c r="E42" s="3" t="n">
        <v>7500</v>
      </c>
      <c r="F42" s="3" t="n">
        <v>0</v>
      </c>
      <c r="G42" s="3" t="n">
        <v>0</v>
      </c>
      <c r="H42" s="3" t="n">
        <v>0</v>
      </c>
      <c r="I42" s="3" t="n">
        <v>0</v>
      </c>
    </row>
    <row r="43">
      <c r="A43" s="1" t="inlineStr">
        <is>
          <t>Equipo de Transporte</t>
        </is>
      </c>
      <c r="B43" s="3" t="n">
        <v>50500</v>
      </c>
      <c r="C43" s="3" t="n">
        <v>5</v>
      </c>
      <c r="D43" s="3" t="n">
        <v>10100</v>
      </c>
      <c r="E43" s="3" t="n">
        <v>10100</v>
      </c>
      <c r="F43" s="3" t="n">
        <v>10100</v>
      </c>
      <c r="G43" s="3" t="n">
        <v>10100</v>
      </c>
      <c r="H43" s="3" t="n">
        <v>10100</v>
      </c>
      <c r="I43" s="3" t="n">
        <v>0</v>
      </c>
    </row>
    <row r="44">
      <c r="A44" s="1" t="inlineStr">
        <is>
          <t>Gastos Preoperativos</t>
        </is>
      </c>
      <c r="B44" s="3" t="n">
        <v>82850</v>
      </c>
      <c r="C44" s="3" t="n">
        <v>5</v>
      </c>
      <c r="D44" s="3" t="n">
        <v>16570</v>
      </c>
      <c r="E44" s="3" t="n">
        <v>16570</v>
      </c>
      <c r="F44" s="3" t="n">
        <v>16570</v>
      </c>
      <c r="G44" s="3" t="n">
        <v>16570</v>
      </c>
      <c r="H44" s="3" t="n">
        <v>16570</v>
      </c>
      <c r="I44" s="3" t="n">
        <v>0</v>
      </c>
    </row>
    <row r="45">
      <c r="A45" s="1" t="inlineStr">
        <is>
          <t>TOTAL</t>
        </is>
      </c>
      <c r="B45" s="1" t="inlineStr"/>
      <c r="C45" s="1" t="inlineStr"/>
      <c r="D45" s="1">
        <f>SUM(D38:D45)</f>
        <v/>
      </c>
      <c r="E45" s="1">
        <f>SUM(E38:E45)</f>
        <v/>
      </c>
      <c r="F45" s="1">
        <f>SUM(F38:F45)</f>
        <v/>
      </c>
      <c r="G45" s="1">
        <f>SUM(G38:G45)</f>
        <v/>
      </c>
      <c r="H45" s="1">
        <f>SUM(H38:H45)</f>
        <v/>
      </c>
      <c r="I45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2026-05-21T18:22:41Z</dcterms:created>
  <dcterms:modified xmlns:dcterms="http://purl.org/dc/terms/" xmlns:xsi="http://www.w3.org/2001/XMLSchema-instance" xsi:type="dcterms:W3CDTF">2026-05-21T18:22:41Z</dcterms:modified>
</cp:coreProperties>
</file>